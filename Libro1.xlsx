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\Desktop\Arduino\"/>
    </mc:Choice>
  </mc:AlternateContent>
  <xr:revisionPtr revIDLastSave="0" documentId="8_{A5150619-7969-426B-9CDE-A9C29FD7D617}" xr6:coauthVersionLast="47" xr6:coauthVersionMax="47" xr10:uidLastSave="{00000000-0000-0000-0000-000000000000}"/>
  <bookViews>
    <workbookView xWindow="-120" yWindow="-120" windowWidth="20730" windowHeight="11160" xr2:uid="{91BBB617-88EC-4A4F-8DAE-A25EF85A6F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2" i="1"/>
  <c r="J3" i="1"/>
  <c r="J4" i="1"/>
  <c r="J5" i="1"/>
  <c r="J6" i="1"/>
  <c r="J7" i="1"/>
  <c r="J8" i="1"/>
  <c r="J2" i="1"/>
  <c r="F3" i="1"/>
  <c r="F4" i="1"/>
  <c r="F5" i="1"/>
  <c r="F6" i="1"/>
  <c r="F7" i="1"/>
  <c r="F8" i="1"/>
  <c r="F2" i="1"/>
  <c r="I9" i="1"/>
  <c r="I3" i="1"/>
  <c r="I4" i="1"/>
  <c r="I5" i="1"/>
  <c r="I6" i="1"/>
  <c r="I7" i="1"/>
  <c r="I8" i="1"/>
  <c r="I2" i="1"/>
  <c r="H9" i="1"/>
  <c r="H3" i="1"/>
  <c r="H4" i="1"/>
  <c r="H5" i="1"/>
  <c r="H6" i="1"/>
  <c r="H7" i="1"/>
  <c r="H8" i="1"/>
  <c r="H2" i="1"/>
  <c r="G9" i="1"/>
  <c r="G3" i="1"/>
  <c r="G4" i="1"/>
  <c r="G5" i="1"/>
  <c r="G6" i="1"/>
  <c r="G7" i="1"/>
  <c r="G8" i="1"/>
  <c r="G2" i="1"/>
  <c r="F9" i="1"/>
  <c r="E9" i="1"/>
  <c r="C9" i="1"/>
  <c r="D9" i="1"/>
</calcChain>
</file>

<file path=xl/sharedStrings.xml><?xml version="1.0" encoding="utf-8"?>
<sst xmlns="http://schemas.openxmlformats.org/spreadsheetml/2006/main" count="18" uniqueCount="17">
  <si>
    <t xml:space="preserve">Mrtin Sanchez </t>
  </si>
  <si>
    <t>Gin Ibero</t>
  </si>
  <si>
    <t>Antonio Salazar</t>
  </si>
  <si>
    <t>Maria palomino</t>
  </si>
  <si>
    <t>Jusn Salazar</t>
  </si>
  <si>
    <t>Marcos Sanchez</t>
  </si>
  <si>
    <t>Martha Pinedo</t>
  </si>
  <si>
    <t xml:space="preserve">Operador </t>
  </si>
  <si>
    <t>Ventas 2022</t>
  </si>
  <si>
    <t>Ventas 2023</t>
  </si>
  <si>
    <t>TOTAL</t>
  </si>
  <si>
    <t>Ventas 2021</t>
  </si>
  <si>
    <t>Promedio de ventas</t>
  </si>
  <si>
    <t>valir maximo</t>
  </si>
  <si>
    <t>Valor Minimo</t>
  </si>
  <si>
    <t>Valores mayores a 15200</t>
  </si>
  <si>
    <t>Valores menores a 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</si>
</sst>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Q-100A]* #,##0.00_-;\-[$Q-100A]* #,##0.00_-;_-[$Q-100A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0" fontId="3" fillId="6" borderId="1" xfId="0" applyFon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B2F1-61C7-4D0A-B6B9-7BA33174BDF2}">
  <dimension ref="A1:K14"/>
  <sheetViews>
    <sheetView tabSelected="1" workbookViewId="0">
      <selection activeCell="I16" sqref="I16"/>
    </sheetView>
  </sheetViews>
  <sheetFormatPr baseColWidth="10" defaultRowHeight="15" x14ac:dyDescent="0.25"/>
  <cols>
    <col min="1" max="1" width="3" bestFit="1" customWidth="1"/>
    <col min="2" max="2" width="15" bestFit="1" customWidth="1"/>
    <col min="3" max="9" width="13" bestFit="1" customWidth="1"/>
    <col min="10" max="10" width="11.85546875" bestFit="1" customWidth="1"/>
  </cols>
  <sheetData>
    <row r="1" spans="1:11" ht="45" x14ac:dyDescent="0.25">
      <c r="A1" s="2"/>
      <c r="B1" s="3" t="s">
        <v>7</v>
      </c>
      <c r="C1" s="3" t="s">
        <v>11</v>
      </c>
      <c r="D1" s="3" t="s">
        <v>8</v>
      </c>
      <c r="E1" s="3" t="s">
        <v>9</v>
      </c>
      <c r="F1" s="3" t="s">
        <v>10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 spans="1:11" x14ac:dyDescent="0.25">
      <c r="A2" s="10">
        <v>1</v>
      </c>
      <c r="B2" s="7" t="s">
        <v>0</v>
      </c>
      <c r="C2" s="5">
        <v>15013</v>
      </c>
      <c r="D2" s="5">
        <v>17236</v>
      </c>
      <c r="E2" s="5">
        <v>17894</v>
      </c>
      <c r="F2" s="5">
        <f>SUM(C1:E2)</f>
        <v>50143</v>
      </c>
      <c r="G2" s="5">
        <f>AVERAGE(C2:E2)</f>
        <v>16714.333333333332</v>
      </c>
      <c r="H2" s="5">
        <f>MAX(C2:E2)</f>
        <v>17894</v>
      </c>
      <c r="I2" s="5">
        <f>MIN(C2:E2)</f>
        <v>15013</v>
      </c>
      <c r="J2" s="6">
        <f>COUNTIF(C2:E2,"&gt;15200")</f>
        <v>2</v>
      </c>
      <c r="K2" s="6">
        <f>COUNTIF(C2:E2,"&lt;17000")</f>
        <v>1</v>
      </c>
    </row>
    <row r="3" spans="1:11" x14ac:dyDescent="0.25">
      <c r="A3" s="10">
        <v>3</v>
      </c>
      <c r="B3" s="7" t="s">
        <v>1</v>
      </c>
      <c r="C3" s="5">
        <v>10532</v>
      </c>
      <c r="D3" s="5">
        <v>17950</v>
      </c>
      <c r="E3" s="5">
        <v>19767</v>
      </c>
      <c r="F3" s="5">
        <f t="shared" ref="F3:F8" si="0">SUM(C2:E3)</f>
        <v>98392</v>
      </c>
      <c r="G3" s="5">
        <f t="shared" ref="G3:G8" si="1">AVERAGE(C3:E3)</f>
        <v>16083</v>
      </c>
      <c r="H3" s="5">
        <f t="shared" ref="H3:H8" si="2">MAX(C3:E3)</f>
        <v>19767</v>
      </c>
      <c r="I3" s="5">
        <f t="shared" ref="I3:I8" si="3">MIN(C3:E3)</f>
        <v>10532</v>
      </c>
      <c r="J3" s="6">
        <f t="shared" ref="J3:J8" si="4">COUNTIF(C3:E3,"&gt;15200")</f>
        <v>2</v>
      </c>
      <c r="K3" s="6">
        <f t="shared" ref="K3:K8" si="5">COUNTIF(C3:E3,"&lt;17000")</f>
        <v>1</v>
      </c>
    </row>
    <row r="4" spans="1:11" x14ac:dyDescent="0.25">
      <c r="A4" s="10">
        <v>4</v>
      </c>
      <c r="B4" s="7" t="s">
        <v>2</v>
      </c>
      <c r="C4" s="5">
        <v>19150</v>
      </c>
      <c r="D4" s="5">
        <v>18796</v>
      </c>
      <c r="E4" s="5">
        <v>15811</v>
      </c>
      <c r="F4" s="5">
        <f t="shared" si="0"/>
        <v>102006</v>
      </c>
      <c r="G4" s="5">
        <f t="shared" si="1"/>
        <v>17919</v>
      </c>
      <c r="H4" s="5">
        <f t="shared" si="2"/>
        <v>19150</v>
      </c>
      <c r="I4" s="5">
        <f t="shared" si="3"/>
        <v>15811</v>
      </c>
      <c r="J4" s="6">
        <f t="shared" si="4"/>
        <v>3</v>
      </c>
      <c r="K4" s="6">
        <f t="shared" si="5"/>
        <v>1</v>
      </c>
    </row>
    <row r="5" spans="1:11" x14ac:dyDescent="0.25">
      <c r="A5" s="10">
        <v>5</v>
      </c>
      <c r="B5" s="7" t="s">
        <v>3</v>
      </c>
      <c r="C5" s="5">
        <v>17257</v>
      </c>
      <c r="D5" s="5">
        <v>15281</v>
      </c>
      <c r="E5" s="5">
        <v>17620</v>
      </c>
      <c r="F5" s="5">
        <f t="shared" si="0"/>
        <v>103915</v>
      </c>
      <c r="G5" s="5">
        <f t="shared" si="1"/>
        <v>16719.333333333332</v>
      </c>
      <c r="H5" s="5">
        <f t="shared" si="2"/>
        <v>17620</v>
      </c>
      <c r="I5" s="5">
        <f t="shared" si="3"/>
        <v>15281</v>
      </c>
      <c r="J5" s="6">
        <f t="shared" si="4"/>
        <v>3</v>
      </c>
      <c r="K5" s="6">
        <f t="shared" si="5"/>
        <v>1</v>
      </c>
    </row>
    <row r="6" spans="1:11" x14ac:dyDescent="0.25">
      <c r="A6" s="10">
        <v>6</v>
      </c>
      <c r="B6" s="7" t="s">
        <v>4</v>
      </c>
      <c r="C6" s="5">
        <v>15734</v>
      </c>
      <c r="D6" s="5">
        <v>19571</v>
      </c>
      <c r="E6" s="5">
        <v>19615</v>
      </c>
      <c r="F6" s="5">
        <f t="shared" si="0"/>
        <v>105078</v>
      </c>
      <c r="G6" s="5">
        <f t="shared" si="1"/>
        <v>18306.666666666668</v>
      </c>
      <c r="H6" s="5">
        <f t="shared" si="2"/>
        <v>19615</v>
      </c>
      <c r="I6" s="5">
        <f t="shared" si="3"/>
        <v>15734</v>
      </c>
      <c r="J6" s="6">
        <f t="shared" si="4"/>
        <v>3</v>
      </c>
      <c r="K6" s="6">
        <f t="shared" si="5"/>
        <v>1</v>
      </c>
    </row>
    <row r="7" spans="1:11" x14ac:dyDescent="0.25">
      <c r="A7" s="10">
        <v>7</v>
      </c>
      <c r="B7" s="7" t="s">
        <v>5</v>
      </c>
      <c r="C7" s="5">
        <v>18121</v>
      </c>
      <c r="D7" s="5">
        <v>19817</v>
      </c>
      <c r="E7" s="5">
        <v>19015</v>
      </c>
      <c r="F7" s="5">
        <f t="shared" si="0"/>
        <v>111873</v>
      </c>
      <c r="G7" s="5">
        <f t="shared" si="1"/>
        <v>18984.333333333332</v>
      </c>
      <c r="H7" s="5">
        <f t="shared" si="2"/>
        <v>19817</v>
      </c>
      <c r="I7" s="5">
        <f t="shared" si="3"/>
        <v>18121</v>
      </c>
      <c r="J7" s="6">
        <f t="shared" si="4"/>
        <v>3</v>
      </c>
      <c r="K7" s="6">
        <f t="shared" si="5"/>
        <v>0</v>
      </c>
    </row>
    <row r="8" spans="1:11" x14ac:dyDescent="0.25">
      <c r="A8" s="10">
        <v>8</v>
      </c>
      <c r="B8" s="7" t="s">
        <v>6</v>
      </c>
      <c r="C8" s="5">
        <v>16870</v>
      </c>
      <c r="D8" s="5">
        <v>15167</v>
      </c>
      <c r="E8" s="5">
        <v>19561</v>
      </c>
      <c r="F8" s="5">
        <f t="shared" si="0"/>
        <v>108551</v>
      </c>
      <c r="G8" s="5">
        <f t="shared" si="1"/>
        <v>17199.333333333332</v>
      </c>
      <c r="H8" s="5">
        <f t="shared" si="2"/>
        <v>19561</v>
      </c>
      <c r="I8" s="5">
        <f t="shared" si="3"/>
        <v>15167</v>
      </c>
      <c r="J8" s="6">
        <f t="shared" si="4"/>
        <v>2</v>
      </c>
      <c r="K8" s="6">
        <f t="shared" si="5"/>
        <v>2</v>
      </c>
    </row>
    <row r="9" spans="1:11" x14ac:dyDescent="0.25">
      <c r="A9" s="11"/>
      <c r="B9" s="8" t="s">
        <v>10</v>
      </c>
      <c r="C9" s="9">
        <f>SUM(C2:C8)</f>
        <v>112677</v>
      </c>
      <c r="D9" s="9">
        <f>SUM(D2:D8)</f>
        <v>123818</v>
      </c>
      <c r="E9" s="9">
        <f>SUM(E2:E8)</f>
        <v>129283</v>
      </c>
      <c r="F9" s="9">
        <f>SUM(F2:F8)</f>
        <v>679958</v>
      </c>
      <c r="G9" s="9">
        <f>SUM(G2:G8)</f>
        <v>121925.99999999999</v>
      </c>
      <c r="H9" s="9">
        <f>SUM(H2:H8)</f>
        <v>133424</v>
      </c>
      <c r="I9" s="9">
        <f>SUM(I2:I8)</f>
        <v>105659</v>
      </c>
      <c r="J9" s="1"/>
      <c r="K9" s="1"/>
    </row>
    <row r="10" spans="1:11" x14ac:dyDescent="0.25">
      <c r="J10" s="1"/>
      <c r="K10" s="1"/>
    </row>
    <row r="11" spans="1:11" x14ac:dyDescent="0.25">
      <c r="J11" s="1"/>
      <c r="K11" s="1"/>
    </row>
    <row r="12" spans="1:11" x14ac:dyDescent="0.25">
      <c r="J12" s="1"/>
      <c r="K12" s="1"/>
    </row>
    <row r="13" spans="1:11" x14ac:dyDescent="0.25">
      <c r="J13" s="1"/>
      <c r="K13" s="1"/>
    </row>
    <row r="14" spans="1:11" x14ac:dyDescent="0.25">
      <c r="J14" s="1"/>
      <c r="K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2026-06-25T20:51:44Z</dcterms:created>
  <dcterms:modified xsi:type="dcterms:W3CDTF">2026-06-25T22:06:15Z</dcterms:modified>
</cp:coreProperties>
</file>